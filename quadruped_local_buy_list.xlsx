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a2aac704c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 List" sheetId="1" r:id="R391d92c47385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TRY&quot;"/>
  </x:numFmts>
  <x:fonts count="11">
    <x:font>
      <x:sz val="11"/>
      <x:name val="Carlito"/>
    </x:font>
    <x:font>
      <x:b/>
      <x:sz val="11"/>
      <x:color rgb="FFFFFFFF"/>
      <x:name val="Arial"/>
    </x:font>
    <x:font>
      <x:sz val="11"/>
      <x:color rgb="FF111827"/>
      <x:name val="Arial"/>
    </x:font>
    <x:font>
      <x:b/>
      <x:sz val="11"/>
      <x:color rgb="FF111827"/>
      <x:name val="Arial"/>
    </x:font>
    <x:font>
      <x:sz val="11"/>
      <x:color rgb="FF111827"/>
      <x:name val="Arial"/>
    </x:font>
    <x:font>
      <x:b/>
      <x:sz val="11"/>
      <x:name val="Carlito"/>
    </x:font>
    <x:font>
      <x:sz val="11"/>
      <x:color rgb="FF111827"/>
      <x:name val="Arial"/>
    </x:font>
    <x:font>
      <x:sz val="9"/>
      <x:color rgb="FF2563EB"/>
      <x:name val="Arial"/>
    </x:font>
    <x:font>
      <x:sz val="11"/>
      <x:color rgb="FF111827"/>
      <x:name val="Arial"/>
    </x:font>
    <x:font>
      <x:sz val="11"/>
      <x:color rgb="FF111827"/>
      <x:name val="Arial"/>
    </x:font>
    <x:font>
      <x:sz val="11"/>
      <x:color rgb="FF11182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>
      <x:top style="medium">
        <x:color rgb="FF1F4E78"/>
      </x:top>
    </x:border>
    <x:border diagonalUp="0" diagonalDown="0">
      <x:left style="none"/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horizontal="right"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horizontal="right" vertical="center"/>
    </x:xf>
    <x:xf numFmtId="0" fontId="4" fillId="4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200" fontId="2" fillId="4" borderId="3" xfId="0" applyNumberFormat="1" applyFont="1" applyFill="1" applyBorder="1" applyAlignment="1">
      <x:alignment horizontal="right" vertical="center"/>
    </x:xf>
    <x:xf numFmtId="200" fontId="5" fillId="3" borderId="1" xfId="0" applyNumberFormat="1" applyFont="1" applyFill="1" applyBorder="1"/>
    <x:xf numFmtId="0" fontId="2" fillId="6" borderId="2" xfId="0" applyNumberFormat="1" applyFont="1" applyFill="1" applyBorder="1" applyAlignment="1">
      <x:alignment vertical="center"/>
    </x:xf>
    <x:xf numFmtId="200" fontId="2" fillId="6" borderId="3" xfId="0" applyNumberFormat="1" applyFont="1" applyFill="1" applyBorder="1" applyAlignment="1">
      <x:alignment horizontal="right" vertical="center"/>
    </x:xf>
    <x:xf numFmtId="0" fontId="6" fillId="6" borderId="2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horizontal="right" vertical="center"/>
    </x:xf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2" fillId="9" borderId="2" xfId="0" applyNumberFormat="1" applyFont="1" applyFill="1" applyBorder="1" applyAlignment="1">
      <x:alignment vertical="center"/>
    </x:xf>
    <x:xf numFmtId="200" fontId="2" fillId="9" borderId="3" xfId="0" applyNumberFormat="1" applyFont="1" applyFill="1" applyBorder="1" applyAlignment="1">
      <x:alignment horizontal="right" vertical="center"/>
    </x:xf>
    <x:xf numFmtId="0" fontId="8" fillId="9" borderId="2" xfId="0" applyNumberFormat="1" applyFont="1" applyFill="1" applyBorder="1" applyAlignment="1">
      <x:alignment vertical="center"/>
    </x:xf>
    <x:xf numFmtId="200" fontId="8" fillId="9" borderId="3" xfId="0" applyNumberFormat="1" applyFont="1" applyFill="1" applyBorder="1" applyAlignment="1">
      <x:alignment horizontal="right" vertical="center"/>
    </x:xf>
    <x:xf numFmtId="0" fontId="5" fillId="10" borderId="1" xfId="0" applyNumberFormat="1" applyFont="1" applyFill="1" applyBorder="1"/>
    <x:xf numFmtId="200" fontId="5" fillId="10" borderId="1" xfId="0" applyNumberFormat="1" applyFont="1" applyFill="1" applyBorder="1"/>
    <x:xf numFmtId="0" fontId="1" fillId="11" borderId="0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/>
    <x:xf numFmtId="0" fontId="2" fillId="12" borderId="2" xfId="0" applyNumberFormat="1" applyFont="1" applyFill="1" applyBorder="1" applyAlignment="1">
      <x:alignment vertical="center"/>
    </x:xf>
    <x:xf numFmtId="200" fontId="2" fillId="12" borderId="3" xfId="0" applyNumberFormat="1" applyFont="1" applyFill="1" applyBorder="1" applyAlignment="1">
      <x:alignment horizontal="right" vertical="center"/>
    </x:xf>
    <x:xf numFmtId="0" fontId="9" fillId="12" borderId="2" xfId="0" applyNumberFormat="1" applyFont="1" applyFill="1" applyBorder="1" applyAlignment="1">
      <x:alignment vertical="center"/>
    </x:xf>
    <x:xf numFmtId="200" fontId="9" fillId="12" borderId="3" xfId="0" applyNumberFormat="1" applyFont="1" applyFill="1" applyBorder="1" applyAlignment="1">
      <x:alignment horizontal="right" vertical="center"/>
    </x:xf>
    <x:xf numFmtId="0" fontId="5" fillId="13" borderId="1" xfId="0" applyNumberFormat="1" applyFont="1" applyFill="1" applyBorder="1"/>
    <x:xf numFmtId="200" fontId="5" fillId="13" borderId="1" xfId="0" applyNumberFormat="1" applyFont="1" applyFill="1" applyBorder="1"/>
    <x:xf numFmtId="0" fontId="1" fillId="14" borderId="0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/>
    <x:xf numFmtId="0" fontId="2" fillId="15" borderId="2" xfId="0" applyNumberFormat="1" applyFont="1" applyFill="1" applyBorder="1" applyAlignment="1">
      <x:alignment vertical="center"/>
    </x:xf>
    <x:xf numFmtId="200" fontId="2" fillId="15" borderId="3" xfId="0" applyNumberFormat="1" applyFont="1" applyFill="1" applyBorder="1" applyAlignment="1">
      <x:alignment horizontal="right" vertical="center"/>
    </x:xf>
    <x:xf numFmtId="0" fontId="10" fillId="15" borderId="2" xfId="0" applyNumberFormat="1" applyFont="1" applyFill="1" applyBorder="1" applyAlignment="1">
      <x:alignment vertical="center"/>
    </x:xf>
    <x:xf numFmtId="200" fontId="10" fillId="15" borderId="3" xfId="0" applyNumberFormat="1" applyFont="1" applyFill="1" applyBorder="1" applyAlignment="1">
      <x:alignment horizontal="right" vertical="center"/>
    </x:xf>
    <x:xf numFmtId="0" fontId="5" fillId="16" borderId="1" xfId="0" applyNumberFormat="1" applyFont="1" applyFill="1" applyBorder="1"/>
    <x:xf numFmtId="200" fontId="5" fillId="16" borderId="1" xfId="0" applyNumberFormat="1" applyFont="1" applyFill="1" applyBorder="1"/>
    <x:xf numFmtId="0" fontId="1" fillId="17" borderId="0" xfId="0" applyNumberFormat="1" applyFont="1" applyFill="1" applyBorder="1" applyAlignment="1">
      <x:alignment horizontal="center" vertical="center"/>
    </x:xf>
    <x:xf numFmtId="0" fontId="3" fillId="1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d9dbf382b4ff0" /><Relationship Type="http://schemas.openxmlformats.org/officeDocument/2006/relationships/theme" Target="/xl/theme/theme1.xml" Id="R06820905583944bc" /><Relationship Type="http://schemas.openxmlformats.org/officeDocument/2006/relationships/sharedStrings" Target="/xl/sharedStrings.xml" Id="R91913d43538e4e36" /><Relationship Type="http://schemas.openxmlformats.org/officeDocument/2006/relationships/worksheet" Target="/xl/worksheets/sheet1.xml" Id="R391d92c47385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8" hidden="0" customWidth="1"/>
    <x:col min="3" max="3" width="66" hidden="0" customWidth="1"/>
  </x:cols>
  <x:sheetData>
    <x:row r="1" ht="24" customHeight="1">
      <x:c r="A1" s="4" t="str">
        <x:v>Part</x:v>
      </x:c>
      <x:c r="B1" s="4" t="str">
        <x:v>Price (TRY)</x:v>
      </x:c>
      <x:c r="C1" s="72" t="str">
        <x:v>Purchase link</x:v>
      </x:c>
    </x:row>
    <x:row r="2" ht="30" customHeight="1">
      <x:c r="A2" s="15" t="str">
        <x:v>1x Blue Sea 5191 MRBF main fuse holder</x:v>
      </x:c>
      <x:c r="B2" s="16" t="n">
        <x:v>1720.73</x:v>
      </x:c>
      <x:c r="C2" s="46" t="str">
        <x:v>https://www.artimarin.com.tr/blue-sea-terminal-sigorta-blogu-30-300a-5191-bss-2011</x:v>
      </x:c>
    </x:row>
    <x:row r="3" ht="30" customHeight="1">
      <x:c r="A3" s="15" t="str">
        <x:v>2x Blue Sea 5183 100A/58V MRBF fuse</x:v>
      </x:c>
      <x:c r="B3" s="16" t="n">
        <x:v>2021.06</x:v>
      </x:c>
      <x:c r="C3" s="46" t="str">
        <x:v>https://www.artimarin.com.tr/blue-sea-terminal-sigorta-100a-5183-bss-2009</x:v>
      </x:c>
    </x:row>
    <x:row r="4" ht="30" customHeight="1">
      <x:c r="A4" s="15" t="str">
        <x:v>1x TE EV200AAANA main contactor</x:v>
      </x:c>
      <x:c r="B4" s="16" t="n">
        <x:v>4406.22</x:v>
      </x:c>
      <x:c r="C4" s="46" t="str">
        <x:v>https://saralelektrik.com/urun/ev200aaana-kontaktor</x:v>
      </x:c>
    </x:row>
    <x:row r="5" ht="44" customHeight="1">
      <x:c r="A5" s="15" t="str">
        <x:v>1x Schneider emergency-stop button and NC contact</x:v>
      </x:c>
      <x:c r="B5" s="16" t="n">
        <x:v>884.99</x:v>
      </x:c>
      <x:c r="C5" s="46" t="str">
        <x:v>https://eshop.se.com/tr/harmony-xb5-kirmizi-o40-acil-durdurma-butonu-o22-mandallama-dondurulerek-serbest-birakilan-1nk-xb5as8442.html</x:v>
      </x:c>
    </x:row>
    <x:row r="6" ht="30" customHeight="1">
      <x:c r="A6" s="15" t="str">
        <x:v>1x locally assembled precharge and contactor-coil parts</x:v>
      </x:c>
      <x:c r="B6" s="16" t="n">
        <x:v>750</x:v>
      </x:c>
      <x:c r="C6" s="46" t="str">
        <x:v>https://www.direnc.net/100r-50w-aluminyum-direnc</x:v>
      </x:c>
    </x:row>
    <x:row r="7" ht="30" customHeight="1">
      <x:c r="A7" s="15" t="str">
        <x:v>2x Victron 150A six-pole covered 48V busbar</x:v>
      </x:c>
      <x:c r="B7" s="16" t="n">
        <x:v>4332.12</x:v>
      </x:c>
      <x:c r="C7" s="46" t="str">
        <x:v>https://www.yatmalzemeleri.com/urun/busbar-cover-1</x:v>
      </x:c>
    </x:row>
    <x:row r="8" ht="30" customHeight="1">
      <x:c r="A8" s="15" t="str">
        <x:v>5x covered MIDI fuse holder</x:v>
      </x:c>
      <x:c r="B8" s="16" t="n">
        <x:v>3606.15</x:v>
      </x:c>
      <x:c r="C8" s="46" t="str">
        <x:v>https://www.yatmalzemeleri.com/urun/midi-fuse-holder</x:v>
      </x:c>
    </x:row>
    <x:row r="9" ht="30" customHeight="1">
      <x:c r="A9" s="15" t="str">
        <x:v>6x 40A/58V MIDI fuse</x:v>
      </x:c>
      <x:c r="B9" s="16" t="n">
        <x:v>4354.5</x:v>
      </x:c>
      <x:c r="C9" s="46" t="str">
        <x:v>https://www.yatmalzemeleri.com/urun/midi-fuse-40a-58v</x:v>
      </x:c>
    </x:row>
    <x:row r="10" ht="30" customHeight="1">
      <x:c r="A10" s="15" t="str">
        <x:v>2x Blue Sea 5025 six-circuit 12V fuse block</x:v>
      </x:c>
      <x:c r="B10" s="16" t="n">
        <x:v>7515.74</x:v>
      </x:c>
      <x:c r="C10" s="46" t="str">
        <x:v>https://dunyamarine.com.tr/urun/blue-sea-systems-st-blade-6li-sigorta-blogu-5025-1465406</x:v>
      </x:c>
    </x:row>
    <x:row r="11" ht="30" customHeight="1">
      <x:c r="A11" s="15" t="str">
        <x:v>12x 15A ATO blade fuse</x:v>
      </x:c>
      <x:c r="B11" s="16" t="n">
        <x:v>200</x:v>
      </x:c>
      <x:c r="C11" s="46" t="str">
        <x:v>https://www.hizlidiyot.com/15a-otomotiv-bicak-sigorta---standart-u1190</x:v>
      </x:c>
    </x:row>
    <x:row r="12" ht="30" customHeight="1">
      <x:c r="A12" s="15" t="str">
        <x:v>10x BTS7960B/IBT-2 brushed-motor driver</x:v>
      </x:c>
      <x:c r="B12" s="16" t="n">
        <x:v>2300</x:v>
      </x:c>
      <x:c r="C12" s="46" t="str">
        <x:v>https://robolinkmarket.com/bts7960b-43a-motor-surucu-karti</x:v>
      </x:c>
    </x:row>
    <x:row r="13" ht="40" customHeight="1">
      <x:c r="A13" s="15" t="str">
        <x:v>1x Blue Sea DualBus Plus 150A positive-and-negative busbar</x:v>
      </x:c>
      <x:c r="B13" s="16" t="n">
        <x:v>2555.93</x:v>
      </x:c>
      <x:c r="C13" s="46" t="str">
        <x:v>https://www.yatmalzemeleri.com/urun/dualbus-plus-150a-ciftli-besli-terminal</x:v>
      </x:c>
    </x:row>
    <x:row r="14" ht="30" customHeight="1">
      <x:c r="A14" s="15" t="str">
        <x:v>1x 12V-to-5V logic converter</x:v>
      </x:c>
      <x:c r="B14" s="16" t="n">
        <x:v>500</x:v>
      </x:c>
      <x:c r="C14" s="46" t="str">
        <x:v>https://robiz.net/power/hw688</x:v>
      </x:c>
    </x:row>
    <x:row r="15" ht="30" customHeight="1">
      <x:c r="A15" s="15" t="str">
        <x:v>4x ST NUCLEO-G474RE controller board</x:v>
      </x:c>
      <x:c r="B15" s="16" t="n">
        <x:v>5980.8</x:v>
      </x:c>
      <x:c r="C15" s="46" t="str">
        <x:v>https://robiz.net/nucleog474re?tag=2G</x:v>
      </x:c>
    </x:row>
    <x:row r="16" ht="30" customHeight="1">
      <x:c r="A16" s="15" t="str">
        <x:v>5x SN65HVD230 CAN transceiver module</x:v>
      </x:c>
      <x:c r="B16" s="16" t="n">
        <x:v>558.6</x:v>
      </x:c>
      <x:c r="C16" s="46" t="str">
        <x:v>https://www.f1depo.com/urun/sn65hvd230-can-modulu</x:v>
      </x:c>
    </x:row>
    <x:row r="17" ht="30" customHeight="1">
      <x:c r="A17" s="15" t="str">
        <x:v>8x AS5600 magnetic encoder module with magnet</x:v>
      </x:c>
      <x:c r="B17" s="16" t="n">
        <x:v>1059.84</x:v>
      </x:c>
      <x:c r="C17" s="46" t="str">
        <x:v>https://robiz.net/as5600</x:v>
      </x:c>
    </x:row>
    <x:row r="18" ht="30" customHeight="1">
      <x:c r="A18" s="15" t="str">
        <x:v>4x Zebbna CDC-4812-30 48V-to-12V 30A converter</x:v>
      </x:c>
      <x:c r="B18" s="16" t="n">
        <x:v>19376.2</x:v>
      </x:c>
      <x:c r="C18" s="46" t="str">
        <x:v>https://www.trendyol.com/zebbna/cdc-4812-30-dc-dc-donusturucu-48v-12v-30a-360w-p-958942105</x:v>
      </x:c>
    </x:row>
    <x:row r="19" ht="30" customHeight="1">
      <x:c r="A19" s="15" t="str">
        <x:v>1x Victron Orion-Tr isolated 48V-to-12V 9A/110W converter</x:v>
      </x:c>
      <x:c r="B19" s="16" t="n">
        <x:v>4515.31</x:v>
      </x:c>
      <x:c r="C19" s="46" t="str">
        <x:v>https://www.denizmar.net/kategori/dc-dc-konvertorler</x:v>
      </x:c>
    </x:row>
    <x:row r="20" ht="30" customHeight="1">
      <x:c r="A20" s="15" t="str">
        <x:v>1x JK-BD6A24S20P 8S-24S 200A BMS</x:v>
      </x:c>
      <x:c r="B20" s="16" t="n">
        <x:v>4630.69</x:v>
      </x:c>
      <x:c r="C20" s="46" t="str">
        <x:v>https://www.jkbmsturkiye.com/jk-smart-bms-8s-24s-200a-0-6a-jk-bd6a24s20p</x:v>
      </x:c>
    </x:row>
    <x:row r="21" ht="30" customHeight="1">
      <x:c r="A21" s="68" t="str">
        <x:v>Power cable, lugs, heat-shrink, boots, covers and connectors</x:v>
      </x:c>
      <x:c r="B21" s="69" t="n">
        <x:v>10000</x:v>
      </x:c>
      <x:c r="C21" s="46" t="str">
        <x:v>https://www.voltaj.net/silikon-kablolar-pmk132</x:v>
      </x:c>
    </x:row>
    <x:row r="22">
      <x:c r="A22" s="70" t="str">
        <x:v>TOTAL</x:v>
      </x:c>
      <x:c r="B22" s="71" t="n">
        <x:f>ROUND(SUM(B2:B21),2)</x:f>
        <x:v>81268.88</x:v>
      </x:c>
      <x:c r="C22" s="73"/>
    </x:row>
  </x:sheetData>
  <x:pageMargins left="0.7" right="0.7" top="0.75" bottom="0.75" header="0.3" footer="0.3"/>
</x:worksheet>
</file>